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giba\Dropbox\From_BrotherDevice\ABM研究ファイルnew\CSS2026\Figures\"/>
    </mc:Choice>
  </mc:AlternateContent>
  <xr:revisionPtr revIDLastSave="0" documentId="13_ncr:1_{A247015E-A6F0-4032-B0FB-935062849094}" xr6:coauthVersionLast="47" xr6:coauthVersionMax="47" xr10:uidLastSave="{00000000-0000-0000-0000-000000000000}"/>
  <bookViews>
    <workbookView xWindow="1488" yWindow="540" windowWidth="21528" windowHeight="11112" activeTab="1" xr2:uid="{74F57497-B386-4C0E-ADAF-2EBAB54168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H5" i="2"/>
  <c r="G5" i="2"/>
  <c r="I5" i="2" s="1"/>
  <c r="F5" i="2"/>
  <c r="E5" i="2"/>
  <c r="I4" i="2"/>
  <c r="E4" i="2"/>
  <c r="I3" i="2"/>
  <c r="E3" i="2"/>
  <c r="I2" i="2"/>
  <c r="E2" i="2"/>
  <c r="H6" i="1"/>
  <c r="G6" i="1"/>
  <c r="F6" i="1"/>
  <c r="I5" i="1"/>
  <c r="I4" i="1"/>
  <c r="I3" i="1"/>
  <c r="E9" i="1"/>
  <c r="E8" i="1"/>
  <c r="E7" i="1"/>
  <c r="E6" i="1"/>
  <c r="E5" i="1"/>
  <c r="E4" i="1"/>
  <c r="E3" i="1"/>
  <c r="I6" i="1" l="1"/>
</calcChain>
</file>

<file path=xl/sharedStrings.xml><?xml version="1.0" encoding="utf-8"?>
<sst xmlns="http://schemas.openxmlformats.org/spreadsheetml/2006/main" count="30" uniqueCount="23">
  <si>
    <t>Retailer</t>
  </si>
  <si>
    <t>Wholesaler</t>
  </si>
  <si>
    <t>Soleproprietor</t>
  </si>
  <si>
    <t>中間セクター合計</t>
  </si>
  <si>
    <t>最終消費</t>
  </si>
  <si>
    <t>政府消費</t>
  </si>
  <si>
    <t>在庫増分</t>
  </si>
  <si>
    <t>最終需要合計</t>
  </si>
  <si>
    <t>支払給与</t>
  </si>
  <si>
    <t>当期利益</t>
  </si>
  <si>
    <t>付加価値合計</t>
  </si>
  <si>
    <t>Sole proprietor</t>
    <phoneticPr fontId="1"/>
  </si>
  <si>
    <t>Current Profits</t>
    <phoneticPr fontId="1"/>
  </si>
  <si>
    <t>Government Consumption</t>
    <phoneticPr fontId="1"/>
  </si>
  <si>
    <t>Value Added(Total)</t>
    <phoneticPr fontId="1"/>
  </si>
  <si>
    <t>Total Final Demand</t>
    <phoneticPr fontId="1"/>
  </si>
  <si>
    <t>Final Consumption</t>
    <phoneticPr fontId="1"/>
  </si>
  <si>
    <t>Total Compensation Paid</t>
    <phoneticPr fontId="1"/>
  </si>
  <si>
    <t>Intermediate  Sector Total</t>
  </si>
  <si>
    <t>Intermediate  Sector Total</t>
    <phoneticPr fontId="1"/>
  </si>
  <si>
    <t>Sole Proprietor</t>
    <phoneticPr fontId="1"/>
  </si>
  <si>
    <t>Raw-Material Maker</t>
    <phoneticPr fontId="1"/>
  </si>
  <si>
    <t>Inventory Change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</si>
</sst>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0513-32B2-486E-8AA6-535FF4F2E92D}">
  <dimension ref="A2:J9"/>
  <sheetViews>
    <sheetView workbookViewId="0">
      <selection activeCell="A2" sqref="A2:I9"/>
    </sheetView>
  </sheetViews>
  <sheetFormatPr defaultRowHeight="18" x14ac:dyDescent="0.45"/>
  <cols>
    <col min="1" max="1" width="13.796875" customWidth="1"/>
    <col min="2" max="9" width="11.296875" customWidth="1"/>
  </cols>
  <sheetData>
    <row r="2" spans="1:10" ht="36.6" customHeight="1" x14ac:dyDescent="0.45">
      <c r="A2" s="1"/>
      <c r="B2" s="2" t="s">
        <v>0</v>
      </c>
      <c r="C2" s="2" t="s">
        <v>1</v>
      </c>
      <c r="D2" s="2" t="s">
        <v>11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1"/>
    </row>
    <row r="3" spans="1:10" x14ac:dyDescent="0.45">
      <c r="A3" s="1" t="s">
        <v>0</v>
      </c>
      <c r="B3" s="3">
        <v>0</v>
      </c>
      <c r="C3" s="3">
        <v>0</v>
      </c>
      <c r="D3" s="3">
        <v>0</v>
      </c>
      <c r="E3" s="3">
        <f>+SUM(B3:D3)</f>
        <v>0</v>
      </c>
      <c r="F3" s="3">
        <v>590274</v>
      </c>
      <c r="G3" s="3">
        <v>0</v>
      </c>
      <c r="H3" s="3">
        <v>17333</v>
      </c>
      <c r="I3" s="3">
        <f>+SUM(F3:H3)</f>
        <v>607607</v>
      </c>
      <c r="J3" s="1"/>
    </row>
    <row r="4" spans="1:10" x14ac:dyDescent="0.45">
      <c r="A4" s="1" t="s">
        <v>1</v>
      </c>
      <c r="B4" s="3">
        <v>181764</v>
      </c>
      <c r="C4" s="3">
        <v>0</v>
      </c>
      <c r="D4" s="3">
        <v>0</v>
      </c>
      <c r="E4" s="3">
        <f t="shared" ref="E4:E9" si="0">+SUM(B4:D4)</f>
        <v>181764</v>
      </c>
      <c r="F4" s="3">
        <v>0</v>
      </c>
      <c r="G4" s="3">
        <v>0</v>
      </c>
      <c r="H4" s="3">
        <v>2230</v>
      </c>
      <c r="I4" s="3">
        <f t="shared" ref="I4:I6" si="1">+SUM(F4:H4)</f>
        <v>2230</v>
      </c>
      <c r="J4" s="1"/>
    </row>
    <row r="5" spans="1:10" x14ac:dyDescent="0.45">
      <c r="A5" s="1" t="s">
        <v>2</v>
      </c>
      <c r="B5" s="3">
        <v>0</v>
      </c>
      <c r="C5" s="3">
        <v>0</v>
      </c>
      <c r="D5" s="3">
        <v>0</v>
      </c>
      <c r="E5" s="3">
        <f t="shared" si="0"/>
        <v>0</v>
      </c>
      <c r="F5" s="3">
        <v>1562539</v>
      </c>
      <c r="G5" s="3">
        <v>314965</v>
      </c>
      <c r="H5" s="3">
        <v>0</v>
      </c>
      <c r="I5" s="3">
        <f t="shared" si="1"/>
        <v>1877504</v>
      </c>
      <c r="J5" s="1"/>
    </row>
    <row r="6" spans="1:10" x14ac:dyDescent="0.45">
      <c r="A6" s="1" t="s">
        <v>3</v>
      </c>
      <c r="B6" s="3">
        <v>181764</v>
      </c>
      <c r="C6" s="3">
        <v>0</v>
      </c>
      <c r="D6" s="3">
        <v>0</v>
      </c>
      <c r="E6" s="3">
        <f t="shared" si="0"/>
        <v>181764</v>
      </c>
      <c r="F6" s="3">
        <f>+SUM(F3:F5)</f>
        <v>2152813</v>
      </c>
      <c r="G6" s="3">
        <f t="shared" ref="G6:H6" si="2">+SUM(G3:G5)</f>
        <v>314965</v>
      </c>
      <c r="H6" s="3">
        <f t="shared" si="2"/>
        <v>19563</v>
      </c>
      <c r="I6" s="3">
        <f t="shared" si="1"/>
        <v>2487341</v>
      </c>
      <c r="J6" s="1"/>
    </row>
    <row r="7" spans="1:10" x14ac:dyDescent="0.45">
      <c r="A7" s="1" t="s">
        <v>8</v>
      </c>
      <c r="B7" s="3">
        <v>392519</v>
      </c>
      <c r="C7" s="3">
        <v>110745</v>
      </c>
      <c r="D7" s="3">
        <v>0</v>
      </c>
      <c r="E7" s="3">
        <f t="shared" si="0"/>
        <v>503264</v>
      </c>
      <c r="F7" s="3"/>
      <c r="G7" s="3"/>
      <c r="H7" s="3"/>
      <c r="I7" s="3"/>
      <c r="J7" s="1"/>
    </row>
    <row r="8" spans="1:10" x14ac:dyDescent="0.45">
      <c r="A8" s="1" t="s">
        <v>9</v>
      </c>
      <c r="B8" s="3">
        <v>33324</v>
      </c>
      <c r="C8" s="3">
        <v>73249</v>
      </c>
      <c r="D8" s="3">
        <v>1877504</v>
      </c>
      <c r="E8" s="3">
        <f t="shared" si="0"/>
        <v>1984077</v>
      </c>
      <c r="F8" s="3"/>
      <c r="G8" s="3"/>
      <c r="H8" s="3"/>
      <c r="I8" s="3"/>
      <c r="J8" s="1"/>
    </row>
    <row r="9" spans="1:10" x14ac:dyDescent="0.45">
      <c r="A9" s="1" t="s">
        <v>10</v>
      </c>
      <c r="B9" s="3">
        <v>425843</v>
      </c>
      <c r="C9" s="3">
        <v>183994</v>
      </c>
      <c r="D9" s="3">
        <v>1877504</v>
      </c>
      <c r="E9" s="3">
        <f t="shared" si="0"/>
        <v>2487341</v>
      </c>
      <c r="F9" s="3"/>
      <c r="G9" s="3"/>
      <c r="H9" s="3"/>
      <c r="I9" s="3"/>
      <c r="J9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9BC3-6493-49EB-8C3C-6E08542FB78F}">
  <dimension ref="A1:I8"/>
  <sheetViews>
    <sheetView tabSelected="1" topLeftCell="C1" zoomScaleNormal="100" workbookViewId="0">
      <selection activeCell="K4" sqref="K4"/>
    </sheetView>
  </sheetViews>
  <sheetFormatPr defaultRowHeight="18" x14ac:dyDescent="0.45"/>
  <cols>
    <col min="1" max="1" width="19.09765625" customWidth="1"/>
    <col min="2" max="9" width="13.19921875" customWidth="1"/>
  </cols>
  <sheetData>
    <row r="1" spans="1:9" ht="34.799999999999997" customHeight="1" x14ac:dyDescent="0.45">
      <c r="A1" s="8"/>
      <c r="B1" s="9" t="s">
        <v>0</v>
      </c>
      <c r="C1" s="9" t="s">
        <v>21</v>
      </c>
      <c r="D1" s="9" t="s">
        <v>20</v>
      </c>
      <c r="E1" s="9" t="s">
        <v>18</v>
      </c>
      <c r="F1" s="9" t="s">
        <v>16</v>
      </c>
      <c r="G1" s="9" t="s">
        <v>13</v>
      </c>
      <c r="H1" s="9" t="s">
        <v>22</v>
      </c>
      <c r="I1" s="9" t="s">
        <v>15</v>
      </c>
    </row>
    <row r="2" spans="1:9" ht="28.2" customHeight="1" x14ac:dyDescent="0.45">
      <c r="A2" s="10" t="s">
        <v>0</v>
      </c>
      <c r="B2" s="5">
        <v>0</v>
      </c>
      <c r="C2" s="5">
        <v>0</v>
      </c>
      <c r="D2" s="5">
        <v>0</v>
      </c>
      <c r="E2" s="5">
        <f>+SUM(B2:D2)</f>
        <v>0</v>
      </c>
      <c r="F2" s="5">
        <v>590274</v>
      </c>
      <c r="G2" s="5">
        <v>0</v>
      </c>
      <c r="H2" s="5">
        <v>17333</v>
      </c>
      <c r="I2" s="5">
        <f>+SUM(F2:H2)</f>
        <v>607607</v>
      </c>
    </row>
    <row r="3" spans="1:9" ht="28.2" customHeight="1" x14ac:dyDescent="0.45">
      <c r="A3" s="11" t="s">
        <v>21</v>
      </c>
      <c r="B3" s="6">
        <v>181764</v>
      </c>
      <c r="C3" s="6">
        <v>0</v>
      </c>
      <c r="D3" s="6">
        <v>0</v>
      </c>
      <c r="E3" s="6">
        <f t="shared" ref="E3:E8" si="0">+SUM(B3:D3)</f>
        <v>181764</v>
      </c>
      <c r="F3" s="6">
        <v>0</v>
      </c>
      <c r="G3" s="6">
        <v>0</v>
      </c>
      <c r="H3" s="6">
        <v>2230</v>
      </c>
      <c r="I3" s="6">
        <f t="shared" ref="I3:I5" si="1">+SUM(F3:H3)</f>
        <v>2230</v>
      </c>
    </row>
    <row r="4" spans="1:9" ht="28.2" customHeight="1" x14ac:dyDescent="0.45">
      <c r="A4" s="11" t="s">
        <v>20</v>
      </c>
      <c r="B4" s="6">
        <v>0</v>
      </c>
      <c r="C4" s="6">
        <v>0</v>
      </c>
      <c r="D4" s="6">
        <v>0</v>
      </c>
      <c r="E4" s="6">
        <f t="shared" si="0"/>
        <v>0</v>
      </c>
      <c r="F4" s="6">
        <v>1562539</v>
      </c>
      <c r="G4" s="6">
        <v>314965</v>
      </c>
      <c r="H4" s="6">
        <v>0</v>
      </c>
      <c r="I4" s="6">
        <f t="shared" si="1"/>
        <v>1877504</v>
      </c>
    </row>
    <row r="5" spans="1:9" ht="33.6" customHeight="1" x14ac:dyDescent="0.45">
      <c r="A5" s="12" t="s">
        <v>19</v>
      </c>
      <c r="B5" s="7">
        <v>181764</v>
      </c>
      <c r="C5" s="7">
        <v>0</v>
      </c>
      <c r="D5" s="7">
        <v>0</v>
      </c>
      <c r="E5" s="7">
        <f t="shared" si="0"/>
        <v>181764</v>
      </c>
      <c r="F5" s="7">
        <f>+SUM(F2:F4)</f>
        <v>2152813</v>
      </c>
      <c r="G5" s="7">
        <f t="shared" ref="G5:H5" si="2">+SUM(G2:G4)</f>
        <v>314965</v>
      </c>
      <c r="H5" s="7">
        <f t="shared" si="2"/>
        <v>19563</v>
      </c>
      <c r="I5" s="13">
        <f t="shared" si="1"/>
        <v>2487341</v>
      </c>
    </row>
    <row r="6" spans="1:9" ht="28.2" customHeight="1" x14ac:dyDescent="0.45">
      <c r="A6" s="10" t="s">
        <v>17</v>
      </c>
      <c r="B6" s="5">
        <v>392519</v>
      </c>
      <c r="C6" s="5">
        <v>110745</v>
      </c>
      <c r="D6" s="5">
        <v>0</v>
      </c>
      <c r="E6" s="5">
        <f t="shared" si="0"/>
        <v>503264</v>
      </c>
      <c r="F6" s="4"/>
      <c r="G6" s="4"/>
      <c r="H6" s="4"/>
      <c r="I6" s="4"/>
    </row>
    <row r="7" spans="1:9" ht="28.2" customHeight="1" x14ac:dyDescent="0.45">
      <c r="A7" s="11" t="s">
        <v>12</v>
      </c>
      <c r="B7" s="6">
        <v>33324</v>
      </c>
      <c r="C7" s="6">
        <v>73249</v>
      </c>
      <c r="D7" s="6">
        <v>1877504</v>
      </c>
      <c r="E7" s="6">
        <f t="shared" si="0"/>
        <v>1984077</v>
      </c>
      <c r="F7" s="4"/>
      <c r="G7" s="4"/>
      <c r="H7" s="4"/>
      <c r="I7" s="4"/>
    </row>
    <row r="8" spans="1:9" ht="28.2" customHeight="1" x14ac:dyDescent="0.45">
      <c r="A8" s="12" t="s">
        <v>14</v>
      </c>
      <c r="B8" s="7">
        <v>425843</v>
      </c>
      <c r="C8" s="7">
        <v>183994</v>
      </c>
      <c r="D8" s="7">
        <v>1877504</v>
      </c>
      <c r="E8" s="13">
        <f t="shared" si="0"/>
        <v>2487341</v>
      </c>
      <c r="F8" s="4"/>
      <c r="G8" s="4"/>
      <c r="H8" s="4"/>
      <c r="I8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成章 荻林</dc:creator>
  <cp:lastModifiedBy>成章 荻林</cp:lastModifiedBy>
  <dcterms:created xsi:type="dcterms:W3CDTF">2026-06-23T04:24:10Z</dcterms:created>
  <dcterms:modified xsi:type="dcterms:W3CDTF">2026-10-10T22:25:29Z</dcterms:modified>
</cp:coreProperties>
</file>